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leander\grade\OZA-repos\Rhine\"/>
    </mc:Choice>
  </mc:AlternateContent>
  <xr:revisionPtr revIDLastSave="0" documentId="13_ncr:1_{172EA669-55E3-4B0F-9A5E-49CB8B1C9F9A}" xr6:coauthVersionLast="41" xr6:coauthVersionMax="41" xr10:uidLastSave="{00000000-0000-0000-0000-000000000000}"/>
  <bookViews>
    <workbookView xWindow="-120" yWindow="-120" windowWidth="29040" windowHeight="15990" tabRatio="500" xr2:uid="{00000000-000D-0000-FFFF-FFFF00000000}"/>
  </bookViews>
  <sheets>
    <sheet name="Sheet1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57" i="1" l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9" i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8" i="1"/>
  <c r="J71" i="1"/>
  <c r="J63" i="1"/>
  <c r="J55" i="1"/>
  <c r="J47" i="1"/>
  <c r="J39" i="1"/>
  <c r="J31" i="1"/>
  <c r="J23" i="1"/>
  <c r="J15" i="1"/>
  <c r="J70" i="1"/>
  <c r="J62" i="1"/>
  <c r="J54" i="1"/>
  <c r="J46" i="1"/>
  <c r="J38" i="1"/>
  <c r="J30" i="1"/>
  <c r="J22" i="1"/>
  <c r="J14" i="1"/>
  <c r="J69" i="1"/>
  <c r="J61" i="1"/>
  <c r="J53" i="1"/>
  <c r="J45" i="1"/>
  <c r="J37" i="1"/>
  <c r="J29" i="1"/>
  <c r="J13" i="1"/>
  <c r="J68" i="1"/>
  <c r="J60" i="1"/>
  <c r="J52" i="1"/>
  <c r="J44" i="1"/>
  <c r="J36" i="1"/>
  <c r="J28" i="1"/>
  <c r="J20" i="1"/>
  <c r="J12" i="1"/>
  <c r="J57" i="1"/>
  <c r="J41" i="1"/>
  <c r="J25" i="1"/>
  <c r="J64" i="1"/>
  <c r="J32" i="1"/>
  <c r="J21" i="1"/>
  <c r="J40" i="1"/>
  <c r="J16" i="1"/>
  <c r="J67" i="1"/>
  <c r="J59" i="1"/>
  <c r="J51" i="1"/>
  <c r="J43" i="1"/>
  <c r="J35" i="1"/>
  <c r="J27" i="1"/>
  <c r="J19" i="1"/>
  <c r="J11" i="1"/>
  <c r="J66" i="1"/>
  <c r="J58" i="1"/>
  <c r="J50" i="1"/>
  <c r="J42" i="1"/>
  <c r="J34" i="1"/>
  <c r="J18" i="1"/>
  <c r="J10" i="1"/>
  <c r="J49" i="1"/>
  <c r="J33" i="1"/>
  <c r="J17" i="1"/>
  <c r="J48" i="1"/>
  <c r="J24" i="1"/>
  <c r="J26" i="1"/>
  <c r="J56" i="1"/>
  <c r="J8" i="1"/>
  <c r="J65" i="1"/>
  <c r="J9" i="1"/>
  <c r="J7" i="1"/>
  <c r="I71" i="1"/>
  <c r="I63" i="1"/>
  <c r="I55" i="1"/>
  <c r="I47" i="1"/>
  <c r="I39" i="1"/>
  <c r="I31" i="1"/>
  <c r="I23" i="1"/>
  <c r="I15" i="1"/>
  <c r="I70" i="1"/>
  <c r="I62" i="1"/>
  <c r="I54" i="1"/>
  <c r="I46" i="1"/>
  <c r="I38" i="1"/>
  <c r="I30" i="1"/>
  <c r="I22" i="1"/>
  <c r="I14" i="1"/>
  <c r="I69" i="1"/>
  <c r="I61" i="1"/>
  <c r="I53" i="1"/>
  <c r="I45" i="1"/>
  <c r="I37" i="1"/>
  <c r="I29" i="1"/>
  <c r="I13" i="1"/>
  <c r="I28" i="1"/>
  <c r="I59" i="1"/>
  <c r="I51" i="1"/>
  <c r="I35" i="1"/>
  <c r="I27" i="1"/>
  <c r="I58" i="1"/>
  <c r="I42" i="1"/>
  <c r="I26" i="1"/>
  <c r="I10" i="1"/>
  <c r="I49" i="1"/>
  <c r="I33" i="1"/>
  <c r="I56" i="1"/>
  <c r="I20" i="1"/>
  <c r="I65" i="1"/>
  <c r="I9" i="1"/>
  <c r="I40" i="1"/>
  <c r="I24" i="1"/>
  <c r="I21" i="1"/>
  <c r="I57" i="1"/>
  <c r="I17" i="1"/>
  <c r="I32" i="1"/>
  <c r="I16" i="1"/>
  <c r="I68" i="1"/>
  <c r="I60" i="1"/>
  <c r="I52" i="1"/>
  <c r="I44" i="1"/>
  <c r="I36" i="1"/>
  <c r="I12" i="1"/>
  <c r="I43" i="1"/>
  <c r="I19" i="1"/>
  <c r="I64" i="1"/>
  <c r="I67" i="1"/>
  <c r="I11" i="1"/>
  <c r="I50" i="1"/>
  <c r="I34" i="1"/>
  <c r="I18" i="1"/>
  <c r="I41" i="1"/>
  <c r="I25" i="1"/>
  <c r="I48" i="1"/>
  <c r="I66" i="1"/>
  <c r="I8" i="1"/>
  <c r="I7" i="1"/>
  <c r="F7" i="1"/>
  <c r="F70" i="1"/>
  <c r="F62" i="1"/>
  <c r="F54" i="1"/>
  <c r="F46" i="1"/>
  <c r="F38" i="1"/>
  <c r="F30" i="1"/>
  <c r="F22" i="1"/>
  <c r="F14" i="1"/>
  <c r="F51" i="1"/>
  <c r="F27" i="1"/>
  <c r="F58" i="1"/>
  <c r="F34" i="1"/>
  <c r="F57" i="1"/>
  <c r="F33" i="1"/>
  <c r="F56" i="1"/>
  <c r="F32" i="1"/>
  <c r="F63" i="1"/>
  <c r="F23" i="1"/>
  <c r="F69" i="1"/>
  <c r="F61" i="1"/>
  <c r="F53" i="1"/>
  <c r="F45" i="1"/>
  <c r="F37" i="1"/>
  <c r="F29" i="1"/>
  <c r="F21" i="1"/>
  <c r="F13" i="1"/>
  <c r="F67" i="1"/>
  <c r="F43" i="1"/>
  <c r="F19" i="1"/>
  <c r="F42" i="1"/>
  <c r="F26" i="1"/>
  <c r="F41" i="1"/>
  <c r="F9" i="1"/>
  <c r="F40" i="1"/>
  <c r="F71" i="1"/>
  <c r="F68" i="1"/>
  <c r="F60" i="1"/>
  <c r="F52" i="1"/>
  <c r="F44" i="1"/>
  <c r="F36" i="1"/>
  <c r="F28" i="1"/>
  <c r="F20" i="1"/>
  <c r="F12" i="1"/>
  <c r="F59" i="1"/>
  <c r="F35" i="1"/>
  <c r="F11" i="1"/>
  <c r="F50" i="1"/>
  <c r="F18" i="1"/>
  <c r="F49" i="1"/>
  <c r="F17" i="1"/>
  <c r="F48" i="1"/>
  <c r="F8" i="1"/>
  <c r="F39" i="1"/>
  <c r="F66" i="1"/>
  <c r="F10" i="1"/>
  <c r="F25" i="1"/>
  <c r="F64" i="1"/>
  <c r="F24" i="1"/>
  <c r="F55" i="1"/>
  <c r="F31" i="1"/>
  <c r="F65" i="1"/>
  <c r="F16" i="1"/>
  <c r="F47" i="1"/>
  <c r="F15" i="1"/>
  <c r="G39" i="1"/>
  <c r="G70" i="1"/>
  <c r="G69" i="1"/>
  <c r="G61" i="1"/>
  <c r="G53" i="1"/>
  <c r="G45" i="1"/>
  <c r="G37" i="1"/>
  <c r="G29" i="1"/>
  <c r="G21" i="1"/>
  <c r="G13" i="1"/>
  <c r="G50" i="1"/>
  <c r="G26" i="1"/>
  <c r="G10" i="1"/>
  <c r="G57" i="1"/>
  <c r="G33" i="1"/>
  <c r="G9" i="1"/>
  <c r="G54" i="1"/>
  <c r="G14" i="1"/>
  <c r="G68" i="1"/>
  <c r="G60" i="1"/>
  <c r="G52" i="1"/>
  <c r="G44" i="1"/>
  <c r="G36" i="1"/>
  <c r="G28" i="1"/>
  <c r="G20" i="1"/>
  <c r="G12" i="1"/>
  <c r="G66" i="1"/>
  <c r="G42" i="1"/>
  <c r="G34" i="1"/>
  <c r="G18" i="1"/>
  <c r="G65" i="1"/>
  <c r="G49" i="1"/>
  <c r="G41" i="1"/>
  <c r="G25" i="1"/>
  <c r="G23" i="1"/>
  <c r="G15" i="1"/>
  <c r="G46" i="1"/>
  <c r="G67" i="1"/>
  <c r="G59" i="1"/>
  <c r="G51" i="1"/>
  <c r="G43" i="1"/>
  <c r="G35" i="1"/>
  <c r="G27" i="1"/>
  <c r="G19" i="1"/>
  <c r="G11" i="1"/>
  <c r="G58" i="1"/>
  <c r="G17" i="1"/>
  <c r="G38" i="1"/>
  <c r="G22" i="1"/>
  <c r="G64" i="1"/>
  <c r="G56" i="1"/>
  <c r="G48" i="1"/>
  <c r="G40" i="1"/>
  <c r="G32" i="1"/>
  <c r="G24" i="1"/>
  <c r="G16" i="1"/>
  <c r="G8" i="1"/>
  <c r="G71" i="1"/>
  <c r="G63" i="1"/>
  <c r="G55" i="1"/>
  <c r="G47" i="1"/>
  <c r="G31" i="1"/>
  <c r="G62" i="1"/>
  <c r="G30" i="1"/>
  <c r="G7" i="1"/>
</calcChain>
</file>

<file path=xl/sharedStrings.xml><?xml version="1.0" encoding="utf-8"?>
<sst xmlns="http://schemas.openxmlformats.org/spreadsheetml/2006/main" count="22" uniqueCount="14">
  <si>
    <t>Gedefinieerde Werklijnfuncties:</t>
  </si>
  <si>
    <t>Argument</t>
  </si>
  <si>
    <t>Result</t>
  </si>
  <si>
    <t>Werklijn_zonder_onzekerheid</t>
  </si>
  <si>
    <t>standardised gumbel variate</t>
  </si>
  <si>
    <t>discharge</t>
  </si>
  <si>
    <t>Werklijn_met_onzekerheid</t>
  </si>
  <si>
    <t>Inverse_Werklijn_zonder_onzekerheid</t>
  </si>
  <si>
    <t>Inverse_Werklijn_met_onzekerheid</t>
  </si>
  <si>
    <t>,</t>
  </si>
  <si>
    <t>Werklijn</t>
  </si>
  <si>
    <t>Zonder Onzekerheid</t>
  </si>
  <si>
    <t>Met Onzekerheid</t>
  </si>
  <si>
    <t>Inverse werklijn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</si>
</sst>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71"/>
  <sheetViews>
    <sheetView tabSelected="1" zoomScaleNormal="100" workbookViewId="0">
      <selection activeCell="B5" sqref="B5"/>
    </sheetView>
  </sheetViews>
  <sheetFormatPr defaultColWidth="8.7109375" defaultRowHeight="15" x14ac:dyDescent="0.25"/>
  <cols>
    <col min="1" max="1" width="52.7109375" customWidth="1"/>
    <col min="2" max="2" width="35" customWidth="1"/>
    <col min="3" max="3" width="26.28515625" customWidth="1"/>
    <col min="4" max="4" width="7.7109375" style="1" customWidth="1"/>
    <col min="5" max="5" width="16.140625" style="1" customWidth="1"/>
    <col min="6" max="6" width="24.140625" customWidth="1"/>
    <col min="7" max="7" width="26.140625" customWidth="1"/>
    <col min="8" max="8" width="15.28515625" customWidth="1"/>
    <col min="9" max="9" width="19" customWidth="1"/>
    <col min="10" max="10" width="25.28515625" customWidth="1"/>
  </cols>
  <sheetData>
    <row r="1" spans="1:10" x14ac:dyDescent="0.25">
      <c r="A1" t="s">
        <v>0</v>
      </c>
      <c r="B1" t="s">
        <v>1</v>
      </c>
      <c r="C1" t="s">
        <v>2</v>
      </c>
    </row>
    <row r="2" spans="1:10" x14ac:dyDescent="0.25">
      <c r="A2" t="s">
        <v>3</v>
      </c>
      <c r="B2" t="s">
        <v>4</v>
      </c>
      <c r="C2" t="s">
        <v>5</v>
      </c>
    </row>
    <row r="3" spans="1:10" x14ac:dyDescent="0.25">
      <c r="A3" t="s">
        <v>6</v>
      </c>
      <c r="B3" t="s">
        <v>4</v>
      </c>
      <c r="C3" t="s">
        <v>5</v>
      </c>
    </row>
    <row r="4" spans="1:10" x14ac:dyDescent="0.25">
      <c r="A4" t="s">
        <v>7</v>
      </c>
      <c r="B4" t="s">
        <v>5</v>
      </c>
      <c r="C4" t="s">
        <v>4</v>
      </c>
    </row>
    <row r="5" spans="1:10" x14ac:dyDescent="0.25">
      <c r="A5" t="s">
        <v>8</v>
      </c>
      <c r="B5" t="s">
        <v>5</v>
      </c>
      <c r="C5" t="s">
        <v>4</v>
      </c>
      <c r="F5" t="s">
        <v>10</v>
      </c>
      <c r="I5" t="s">
        <v>13</v>
      </c>
    </row>
    <row r="6" spans="1:10" x14ac:dyDescent="0.25">
      <c r="F6" t="s">
        <v>11</v>
      </c>
      <c r="G6" t="s">
        <v>12</v>
      </c>
      <c r="I6" t="s">
        <v>11</v>
      </c>
      <c r="J6" t="s">
        <v>12</v>
      </c>
    </row>
    <row r="7" spans="1:10" x14ac:dyDescent="0.25">
      <c r="E7" s="1">
        <v>1</v>
      </c>
      <c r="F7">
        <f>WERKLIJN_ZONDER_ONZEKERHEID(E7)</f>
        <v>6947.3088481148006</v>
      </c>
      <c r="G7">
        <f>WERKLIJN_MET_ONZEKERHEID(E7)</f>
        <v>7273.0022069979441</v>
      </c>
      <c r="I7">
        <f>INVERSE_WERKLIJN_ZONDER_ONZEKERHEID(F7)</f>
        <v>0.92588533741529067</v>
      </c>
      <c r="J7">
        <f>INVERSE_WERKLIJN_MET_ONZEKERHEID(G7)</f>
        <v>0.9973335188635194</v>
      </c>
    </row>
    <row r="8" spans="1:10" x14ac:dyDescent="0.25">
      <c r="D8" s="1" t="s">
        <v>9</v>
      </c>
      <c r="E8" s="1">
        <f>+E7+0.2</f>
        <v>1.2</v>
      </c>
      <c r="F8">
        <f t="shared" ref="F8:F71" si="0">WERKLIJN_ZONDER_ONZEKERHEID(E8)</f>
        <v>7285.7080361014441</v>
      </c>
      <c r="G8">
        <f t="shared" ref="G8:G71" si="1">WERKLIJN_MET_ONZEKERHEID(E8)</f>
        <v>7626.9308859485418</v>
      </c>
      <c r="I8">
        <f t="shared" ref="I8:I71" si="2">INVERSE_WERKLIJN_ZONDER_ONZEKERHEID(F8)</f>
        <v>1.1104852072558935</v>
      </c>
      <c r="J8">
        <f t="shared" ref="J8:J71" si="3">INVERSE_WERKLIJN_MET_ONZEKERHEID(G8)</f>
        <v>1.1964343080818467</v>
      </c>
    </row>
    <row r="9" spans="1:10" x14ac:dyDescent="0.25">
      <c r="E9" s="1">
        <f t="shared" ref="E9:E71" si="4">+E8+0.2</f>
        <v>1.4</v>
      </c>
      <c r="F9">
        <f t="shared" si="0"/>
        <v>7622.6723098926068</v>
      </c>
      <c r="G9">
        <f t="shared" si="1"/>
        <v>7980.2930025187416</v>
      </c>
      <c r="I9">
        <f t="shared" si="2"/>
        <v>1.2943051798885923</v>
      </c>
      <c r="J9">
        <f t="shared" si="3"/>
        <v>1.3952293893123162</v>
      </c>
    </row>
    <row r="10" spans="1:10" x14ac:dyDescent="0.25">
      <c r="E10" s="1">
        <f t="shared" si="4"/>
        <v>1.5999999999999999</v>
      </c>
      <c r="F10">
        <f t="shared" si="0"/>
        <v>7957.8710940892906</v>
      </c>
      <c r="G10">
        <f t="shared" si="1"/>
        <v>8332.8975712686879</v>
      </c>
      <c r="I10">
        <f t="shared" si="2"/>
        <v>1.4771674858713544</v>
      </c>
      <c r="J10">
        <f t="shared" si="3"/>
        <v>1.5936219656995017</v>
      </c>
    </row>
    <row r="11" spans="1:10" x14ac:dyDescent="0.25">
      <c r="E11" s="1">
        <f t="shared" si="4"/>
        <v>1.7999999999999998</v>
      </c>
      <c r="F11">
        <f t="shared" si="0"/>
        <v>8290.9042369210547</v>
      </c>
      <c r="G11">
        <f t="shared" si="1"/>
        <v>8684.4908988794614</v>
      </c>
      <c r="I11">
        <f t="shared" si="2"/>
        <v>1.6588586383918207</v>
      </c>
      <c r="J11">
        <f t="shared" si="3"/>
        <v>1.7914886057327011</v>
      </c>
    </row>
    <row r="12" spans="1:10" x14ac:dyDescent="0.25">
      <c r="E12" s="1">
        <f t="shared" si="4"/>
        <v>1.9999999999999998</v>
      </c>
      <c r="F12">
        <f t="shared" si="0"/>
        <v>8621.2907560200492</v>
      </c>
      <c r="G12">
        <f t="shared" si="1"/>
        <v>9034.7374001821972</v>
      </c>
      <c r="I12">
        <f t="shared" si="2"/>
        <v>1.8391251657976706</v>
      </c>
      <c r="J12">
        <f t="shared" si="3"/>
        <v>1.9886753129673334</v>
      </c>
    </row>
    <row r="13" spans="1:10" x14ac:dyDescent="0.25">
      <c r="E13" s="1">
        <f t="shared" si="4"/>
        <v>2.1999999999999997</v>
      </c>
      <c r="F13">
        <f t="shared" si="0"/>
        <v>8948.4575074181957</v>
      </c>
      <c r="G13">
        <f t="shared" si="1"/>
        <v>9383.1956504360387</v>
      </c>
      <c r="I13">
        <f t="shared" si="2"/>
        <v>2.0176707637326858</v>
      </c>
      <c r="J13">
        <f t="shared" si="3"/>
        <v>2.1849961110430738</v>
      </c>
    </row>
    <row r="14" spans="1:10" x14ac:dyDescent="0.25">
      <c r="E14" s="1">
        <f t="shared" si="4"/>
        <v>2.4</v>
      </c>
      <c r="F14">
        <f t="shared" si="0"/>
        <v>9271.7288056320249</v>
      </c>
      <c r="G14">
        <f t="shared" si="1"/>
        <v>9729.2893599857998</v>
      </c>
      <c r="I14">
        <f t="shared" si="2"/>
        <v>2.1941564407686638</v>
      </c>
      <c r="J14">
        <f t="shared" si="3"/>
        <v>2.38023752833239</v>
      </c>
    </row>
    <row r="15" spans="1:10" x14ac:dyDescent="0.25">
      <c r="E15" s="1">
        <f t="shared" si="4"/>
        <v>2.6</v>
      </c>
      <c r="F15">
        <f t="shared" si="0"/>
        <v>9590.3185323058096</v>
      </c>
      <c r="G15">
        <f t="shared" si="1"/>
        <v>10072.273702242801</v>
      </c>
      <c r="I15">
        <f t="shared" si="2"/>
        <v>2.3682060628658861</v>
      </c>
      <c r="J15">
        <f t="shared" si="3"/>
        <v>2.5741746974931234</v>
      </c>
    </row>
    <row r="16" spans="1:10" x14ac:dyDescent="0.25">
      <c r="E16" s="1">
        <f t="shared" si="4"/>
        <v>2.8000000000000003</v>
      </c>
      <c r="F16">
        <f t="shared" si="0"/>
        <v>9903.3268491875006</v>
      </c>
      <c r="G16">
        <f t="shared" si="1"/>
        <v>10411.198847009695</v>
      </c>
      <c r="I16">
        <f t="shared" si="2"/>
        <v>2.5394207070330403</v>
      </c>
      <c r="J16">
        <f t="shared" si="3"/>
        <v>2.766607772843455</v>
      </c>
    </row>
    <row r="17" spans="5:10" x14ac:dyDescent="0.25">
      <c r="E17" s="1">
        <f t="shared" si="4"/>
        <v>3.0000000000000004</v>
      </c>
      <c r="F17">
        <f t="shared" si="0"/>
        <v>10209.744180278485</v>
      </c>
      <c r="G17">
        <f t="shared" si="1"/>
        <v>10744.87492738915</v>
      </c>
      <c r="I17">
        <f t="shared" si="2"/>
        <v>2.7074062007839261</v>
      </c>
      <c r="J17">
        <f t="shared" si="3"/>
        <v>2.9574300145896641</v>
      </c>
    </row>
    <row r="18" spans="5:10" x14ac:dyDescent="0.25">
      <c r="E18" s="1">
        <f t="shared" si="4"/>
        <v>3.2000000000000006</v>
      </c>
      <c r="F18">
        <f t="shared" si="0"/>
        <v>10508.465467722728</v>
      </c>
      <c r="G18">
        <f t="shared" si="1"/>
        <v>11071.846159079118</v>
      </c>
      <c r="I18">
        <f t="shared" si="2"/>
        <v>2.8718186431690085</v>
      </c>
      <c r="J18">
        <f t="shared" si="3"/>
        <v>3.1467382310820926</v>
      </c>
    </row>
    <row r="19" spans="5:10" x14ac:dyDescent="0.25">
      <c r="E19" s="1">
        <f t="shared" si="4"/>
        <v>3.4000000000000008</v>
      </c>
      <c r="F19">
        <f t="shared" si="0"/>
        <v>10798.317570300056</v>
      </c>
      <c r="G19">
        <f t="shared" si="1"/>
        <v>11390.386154567082</v>
      </c>
      <c r="I19">
        <f t="shared" si="2"/>
        <v>3.032431651263066</v>
      </c>
      <c r="J19">
        <f t="shared" si="3"/>
        <v>3.3349860791522752</v>
      </c>
    </row>
    <row r="20" spans="5:10" x14ac:dyDescent="0.25">
      <c r="E20" s="1">
        <f t="shared" si="4"/>
        <v>3.600000000000001</v>
      </c>
      <c r="F20">
        <f t="shared" si="0"/>
        <v>11078.101751445756</v>
      </c>
      <c r="G20">
        <f t="shared" si="1"/>
        <v>11698.530399445106</v>
      </c>
      <c r="I20">
        <f t="shared" si="2"/>
        <v>3.1892252470718696</v>
      </c>
      <c r="J20">
        <f t="shared" si="3"/>
        <v>3.523151872503139</v>
      </c>
    </row>
    <row r="21" spans="5:10" x14ac:dyDescent="0.25">
      <c r="E21" s="1">
        <f t="shared" si="4"/>
        <v>3.8000000000000012</v>
      </c>
      <c r="F21">
        <f t="shared" si="0"/>
        <v>11346.651252651202</v>
      </c>
      <c r="G21">
        <f t="shared" si="1"/>
        <v>11994.162717895908</v>
      </c>
      <c r="I21">
        <f t="shared" si="2"/>
        <v>3.342488451860445</v>
      </c>
      <c r="J21">
        <f t="shared" si="3"/>
        <v>3.7128401436951832</v>
      </c>
    </row>
    <row r="22" spans="5:10" x14ac:dyDescent="0.25">
      <c r="E22" s="1">
        <f t="shared" si="4"/>
        <v>4.0000000000000009</v>
      </c>
      <c r="F22">
        <f t="shared" si="0"/>
        <v>11602.900977043875</v>
      </c>
      <c r="G22">
        <f t="shared" si="1"/>
        <v>12275.166466735818</v>
      </c>
      <c r="I22">
        <f t="shared" si="2"/>
        <v>3.4929157401339301</v>
      </c>
      <c r="J22">
        <f t="shared" si="3"/>
        <v>3.906179583545577</v>
      </c>
    </row>
    <row r="23" spans="5:10" x14ac:dyDescent="0.25">
      <c r="E23" s="1">
        <f t="shared" si="4"/>
        <v>4.2000000000000011</v>
      </c>
      <c r="F23">
        <f t="shared" si="0"/>
        <v>11845.962771449145</v>
      </c>
      <c r="G23">
        <f t="shared" si="1"/>
        <v>12539.63500077012</v>
      </c>
      <c r="I23">
        <f t="shared" si="2"/>
        <v>3.6416644162708978</v>
      </c>
      <c r="J23">
        <f t="shared" si="3"/>
        <v>4.1053861539203815</v>
      </c>
    </row>
    <row r="24" spans="5:10" x14ac:dyDescent="0.25">
      <c r="E24" s="1">
        <f t="shared" si="4"/>
        <v>4.4000000000000012</v>
      </c>
      <c r="F24">
        <f t="shared" si="0"/>
        <v>12075.196658530422</v>
      </c>
      <c r="G24">
        <f t="shared" si="1"/>
        <v>12786.111137507251</v>
      </c>
      <c r="I24">
        <f t="shared" si="2"/>
        <v>3.790332888911581</v>
      </c>
      <c r="J24">
        <f t="shared" si="3"/>
        <v>4.31201778507425</v>
      </c>
    </row>
    <row r="25" spans="5:10" x14ac:dyDescent="0.25">
      <c r="E25" s="1">
        <f t="shared" si="4"/>
        <v>4.6000000000000014</v>
      </c>
      <c r="F25">
        <f t="shared" si="0"/>
        <v>12290.266892272632</v>
      </c>
      <c r="G25">
        <f t="shared" si="1"/>
        <v>13013.801537958543</v>
      </c>
      <c r="I25">
        <f t="shared" si="2"/>
        <v>3.9408288301985692</v>
      </c>
      <c r="J25">
        <f t="shared" si="3"/>
        <v>4.5262325016189315</v>
      </c>
    </row>
    <row r="26" spans="5:10" x14ac:dyDescent="0.25">
      <c r="E26" s="1">
        <f t="shared" si="4"/>
        <v>4.8000000000000016</v>
      </c>
      <c r="F26">
        <f t="shared" si="0"/>
        <v>12491.172911484962</v>
      </c>
      <c r="G26">
        <f t="shared" si="1"/>
        <v>13222.704613713757</v>
      </c>
      <c r="I26">
        <f t="shared" si="2"/>
        <v>4.0951279561747942</v>
      </c>
      <c r="J26">
        <f t="shared" si="3"/>
        <v>4.7465208170342716</v>
      </c>
    </row>
    <row r="27" spans="5:10" x14ac:dyDescent="0.25">
      <c r="E27" s="1">
        <f t="shared" si="4"/>
        <v>5.0000000000000018</v>
      </c>
      <c r="F27">
        <f t="shared" si="0"/>
        <v>12678.249308170611</v>
      </c>
      <c r="G27">
        <f t="shared" si="1"/>
        <v>13413.610509634687</v>
      </c>
      <c r="I27">
        <f t="shared" si="2"/>
        <v>4.2549719781877666</v>
      </c>
      <c r="J27">
        <f t="shared" si="3"/>
        <v>4.9701458308269277</v>
      </c>
    </row>
    <row r="28" spans="5:10" x14ac:dyDescent="0.25">
      <c r="E28" s="1">
        <f t="shared" si="4"/>
        <v>5.200000000000002</v>
      </c>
      <c r="F28">
        <f t="shared" si="0"/>
        <v>12852.134808997689</v>
      </c>
      <c r="G28">
        <f t="shared" si="1"/>
        <v>13587.973162006332</v>
      </c>
      <c r="I28">
        <f t="shared" si="2"/>
        <v>4.4215938775702011</v>
      </c>
      <c r="J28">
        <f t="shared" si="3"/>
        <v>5.1940378729743761</v>
      </c>
    </row>
    <row r="29" spans="5:10" x14ac:dyDescent="0.25">
      <c r="E29" s="1">
        <f t="shared" si="4"/>
        <v>5.4000000000000021</v>
      </c>
      <c r="F29">
        <f t="shared" si="0"/>
        <v>13013.716149397194</v>
      </c>
      <c r="G29">
        <f t="shared" si="1"/>
        <v>13747.695882483597</v>
      </c>
      <c r="I29">
        <f t="shared" si="2"/>
        <v>4.5955605587224486</v>
      </c>
      <c r="J29">
        <f t="shared" si="3"/>
        <v>5.4156335728255094</v>
      </c>
    </row>
    <row r="30" spans="5:10" x14ac:dyDescent="0.25">
      <c r="E30" s="1">
        <f t="shared" si="4"/>
        <v>5.6000000000000023</v>
      </c>
      <c r="F30">
        <f t="shared" si="0"/>
        <v>13164.056761697335</v>
      </c>
      <c r="G30">
        <f t="shared" si="1"/>
        <v>13894.891857328434</v>
      </c>
      <c r="I30">
        <f t="shared" si="2"/>
        <v>4.7767779754522728</v>
      </c>
      <c r="J30">
        <f t="shared" si="3"/>
        <v>5.6333156013442922</v>
      </c>
    </row>
    <row r="31" spans="5:10" x14ac:dyDescent="0.25">
      <c r="E31" s="1">
        <f t="shared" si="4"/>
        <v>5.8000000000000025</v>
      </c>
      <c r="F31">
        <f t="shared" si="0"/>
        <v>13304.321399620147</v>
      </c>
      <c r="G31">
        <f t="shared" si="1"/>
        <v>14031.673644911536</v>
      </c>
      <c r="I31">
        <f t="shared" si="2"/>
        <v>4.9646368496161974</v>
      </c>
      <c r="J31">
        <f t="shared" si="3"/>
        <v>5.846434366616009</v>
      </c>
    </row>
    <row r="32" spans="5:10" x14ac:dyDescent="0.25">
      <c r="E32" s="1">
        <f t="shared" si="4"/>
        <v>6.0000000000000027</v>
      </c>
      <c r="F32">
        <f t="shared" si="0"/>
        <v>13435.706342413139</v>
      </c>
      <c r="G32">
        <f t="shared" si="1"/>
        <v>14160.001943179584</v>
      </c>
      <c r="I32">
        <f t="shared" si="2"/>
        <v>5.1582288434451113</v>
      </c>
      <c r="J32">
        <f t="shared" si="3"/>
        <v>6.0550830408482037</v>
      </c>
    </row>
    <row r="33" spans="5:10" x14ac:dyDescent="0.25">
      <c r="E33" s="1">
        <f t="shared" si="4"/>
        <v>6.2000000000000028</v>
      </c>
      <c r="F33">
        <f t="shared" si="0"/>
        <v>13559.381684205959</v>
      </c>
      <c r="G33">
        <f t="shared" si="1"/>
        <v>14281.599084212259</v>
      </c>
      <c r="I33">
        <f t="shared" si="2"/>
        <v>5.3565565198659995</v>
      </c>
      <c r="J33">
        <f t="shared" si="3"/>
        <v>6.2598064620728913</v>
      </c>
    </row>
    <row r="34" spans="5:10" x14ac:dyDescent="0.25">
      <c r="E34" s="1">
        <f t="shared" si="4"/>
        <v>6.400000000000003</v>
      </c>
      <c r="F34">
        <f t="shared" si="0"/>
        <v>13676.448676418328</v>
      </c>
      <c r="G34">
        <f t="shared" si="1"/>
        <v>14397.916516736226</v>
      </c>
      <c r="I34">
        <f t="shared" si="2"/>
        <v>5.5586872233469418</v>
      </c>
      <c r="J34">
        <f t="shared" si="3"/>
        <v>6.461351263511073</v>
      </c>
    </row>
    <row r="35" spans="5:10" x14ac:dyDescent="0.25">
      <c r="E35" s="1">
        <f t="shared" si="4"/>
        <v>6.6000000000000032</v>
      </c>
      <c r="F35">
        <f t="shared" si="0"/>
        <v>13787.912118390439</v>
      </c>
      <c r="G35">
        <f t="shared" si="1"/>
        <v>14510.139450842122</v>
      </c>
      <c r="I35">
        <f t="shared" si="2"/>
        <v>5.7638365709199171</v>
      </c>
      <c r="J35">
        <f t="shared" si="3"/>
        <v>6.6604935830648975</v>
      </c>
    </row>
    <row r="36" spans="5:10" x14ac:dyDescent="0.25">
      <c r="E36" s="1">
        <f t="shared" si="4"/>
        <v>6.8000000000000034</v>
      </c>
      <c r="F36">
        <f t="shared" si="0"/>
        <v>13894.665838370836</v>
      </c>
      <c r="G36">
        <f t="shared" si="1"/>
        <v>14619.212701892069</v>
      </c>
      <c r="I36">
        <f t="shared" si="2"/>
        <v>5.9713925796972456</v>
      </c>
      <c r="J36">
        <f t="shared" si="3"/>
        <v>6.8579400307562235</v>
      </c>
    </row>
    <row r="37" spans="5:10" x14ac:dyDescent="0.25">
      <c r="E37" s="1">
        <f t="shared" si="4"/>
        <v>7.0000000000000036</v>
      </c>
      <c r="F37">
        <f t="shared" si="0"/>
        <v>13997.488382684425</v>
      </c>
      <c r="G37">
        <f t="shared" si="1"/>
        <v>14725.87570344294</v>
      </c>
      <c r="I37">
        <f t="shared" si="2"/>
        <v>6.1809014642168618</v>
      </c>
      <c r="J37">
        <f t="shared" si="3"/>
        <v>7.0542827811000022</v>
      </c>
    </row>
    <row r="38" spans="5:10" x14ac:dyDescent="0.25">
      <c r="E38" s="1">
        <f t="shared" si="4"/>
        <v>7.2000000000000037</v>
      </c>
      <c r="F38">
        <f t="shared" si="0"/>
        <v>14097.045892424227</v>
      </c>
      <c r="G38">
        <f t="shared" si="1"/>
        <v>14830.699005395863</v>
      </c>
      <c r="I38">
        <f t="shared" si="2"/>
        <v>6.3920350433722026</v>
      </c>
      <c r="J38">
        <f t="shared" si="3"/>
        <v>7.2499888689924665</v>
      </c>
    </row>
    <row r="39" spans="5:10" x14ac:dyDescent="0.25">
      <c r="E39" s="1">
        <f t="shared" si="4"/>
        <v>7.4000000000000039</v>
      </c>
      <c r="F39">
        <f t="shared" si="0"/>
        <v>14193.899483589821</v>
      </c>
      <c r="G39">
        <f t="shared" si="1"/>
        <v>14934.118127371841</v>
      </c>
      <c r="I39">
        <f t="shared" si="2"/>
        <v>6.6045538142963007</v>
      </c>
      <c r="J39">
        <f t="shared" si="3"/>
        <v>7.4454081755599946</v>
      </c>
    </row>
    <row r="40" spans="5:10" x14ac:dyDescent="0.25">
      <c r="E40" s="1">
        <f t="shared" si="4"/>
        <v>7.6000000000000041</v>
      </c>
      <c r="F40">
        <f t="shared" si="0"/>
        <v>14288.514992280168</v>
      </c>
      <c r="G40">
        <f t="shared" si="1"/>
        <v>15036.463189526947</v>
      </c>
      <c r="I40">
        <f t="shared" si="2"/>
        <v>6.8182734969798622</v>
      </c>
      <c r="J40">
        <f t="shared" si="3"/>
        <v>7.6407896762425995</v>
      </c>
    </row>
    <row r="41" spans="5:10" x14ac:dyDescent="0.25">
      <c r="E41" s="1">
        <f t="shared" si="4"/>
        <v>7.8000000000000043</v>
      </c>
      <c r="F41">
        <f t="shared" si="0"/>
        <v>14381.273521516483</v>
      </c>
      <c r="G41">
        <f t="shared" si="1"/>
        <v>15137.984651545687</v>
      </c>
      <c r="I41">
        <f t="shared" si="2"/>
        <v>7.0330381582436843</v>
      </c>
      <c r="J41">
        <f t="shared" si="3"/>
        <v>7.8362996534167833</v>
      </c>
    </row>
    <row r="42" spans="5:10" x14ac:dyDescent="0.25">
      <c r="E42" s="1">
        <f t="shared" si="4"/>
        <v>8.0000000000000036</v>
      </c>
      <c r="F42">
        <f t="shared" si="0"/>
        <v>14472.481733118673</v>
      </c>
      <c r="G42">
        <f t="shared" si="1"/>
        <v>15238.877566321906</v>
      </c>
      <c r="I42">
        <f t="shared" si="2"/>
        <v>7.2487001863782945</v>
      </c>
      <c r="J42">
        <f t="shared" si="3"/>
        <v>8.0320386967430224</v>
      </c>
    </row>
    <row r="43" spans="5:10" x14ac:dyDescent="0.25">
      <c r="E43" s="1">
        <f t="shared" si="4"/>
        <v>8.2000000000000028</v>
      </c>
      <c r="F43">
        <f t="shared" si="0"/>
        <v>14562.381229646822</v>
      </c>
      <c r="G43">
        <f t="shared" si="1"/>
        <v>15339.310563767929</v>
      </c>
      <c r="I43">
        <f t="shared" si="2"/>
        <v>7.4651060120787172</v>
      </c>
      <c r="J43">
        <f t="shared" si="3"/>
        <v>8.2280575953024435</v>
      </c>
    </row>
    <row r="44" spans="5:10" x14ac:dyDescent="0.25">
      <c r="E44" s="1">
        <f t="shared" si="4"/>
        <v>8.4000000000000021</v>
      </c>
      <c r="F44">
        <f t="shared" si="0"/>
        <v>14651.1566670538</v>
      </c>
      <c r="G44">
        <f t="shared" si="1"/>
        <v>15439.473915182194</v>
      </c>
      <c r="I44">
        <f t="shared" si="2"/>
        <v>7.682086030905519</v>
      </c>
      <c r="J44">
        <f t="shared" si="3"/>
        <v>8.4243787711508844</v>
      </c>
    </row>
    <row r="45" spans="5:10" x14ac:dyDescent="0.25">
      <c r="E45" s="1">
        <f t="shared" si="4"/>
        <v>8.6000000000000014</v>
      </c>
      <c r="F45">
        <f t="shared" si="0"/>
        <v>14738.942445846995</v>
      </c>
      <c r="G45">
        <f t="shared" si="1"/>
        <v>15539.672187735672</v>
      </c>
      <c r="I45">
        <f t="shared" si="2"/>
        <v>7.899447254387554</v>
      </c>
      <c r="J45">
        <f t="shared" si="3"/>
        <v>8.6210427971989123</v>
      </c>
    </row>
    <row r="46" spans="5:10" x14ac:dyDescent="0.25">
      <c r="E46" s="1">
        <f t="shared" si="4"/>
        <v>8.8000000000000007</v>
      </c>
      <c r="F46">
        <f t="shared" si="0"/>
        <v>14825.827971366863</v>
      </c>
      <c r="G46">
        <f t="shared" si="1"/>
        <v>15640.460107835594</v>
      </c>
      <c r="I46">
        <f t="shared" si="2"/>
        <v>8.116967529972392</v>
      </c>
      <c r="J46">
        <f t="shared" si="3"/>
        <v>8.8181898600385207</v>
      </c>
    </row>
    <row r="47" spans="5:10" x14ac:dyDescent="0.25">
      <c r="E47" s="1">
        <f t="shared" si="4"/>
        <v>9</v>
      </c>
      <c r="F47">
        <f t="shared" si="0"/>
        <v>14911.861576978454</v>
      </c>
      <c r="G47">
        <f t="shared" si="1"/>
        <v>15742.614705923654</v>
      </c>
      <c r="I47">
        <f t="shared" si="2"/>
        <v>8.3343905806067138</v>
      </c>
      <c r="J47">
        <f t="shared" si="3"/>
        <v>9.0160303721180686</v>
      </c>
    </row>
    <row r="48" spans="5:10" x14ac:dyDescent="0.25">
      <c r="E48" s="1">
        <f t="shared" si="4"/>
        <v>9.1999999999999993</v>
      </c>
      <c r="F48">
        <f t="shared" si="0"/>
        <v>14997.053290090647</v>
      </c>
      <c r="G48">
        <f t="shared" si="1"/>
        <v>15846.569758628573</v>
      </c>
      <c r="I48">
        <f t="shared" si="2"/>
        <v>8.5514215655331363</v>
      </c>
      <c r="J48">
        <f t="shared" si="3"/>
        <v>9.2145086675329324</v>
      </c>
    </row>
    <row r="49" spans="5:10" x14ac:dyDescent="0.25">
      <c r="E49" s="1">
        <f t="shared" si="4"/>
        <v>9.3999999999999986</v>
      </c>
      <c r="F49">
        <f t="shared" si="0"/>
        <v>15081.376709000004</v>
      </c>
      <c r="G49">
        <f t="shared" si="1"/>
        <v>15951.91904874067</v>
      </c>
      <c r="I49">
        <f t="shared" si="2"/>
        <v>8.7677233473792473</v>
      </c>
      <c r="J49">
        <f t="shared" si="3"/>
        <v>9.4132860590689944</v>
      </c>
    </row>
    <row r="50" spans="5:10" x14ac:dyDescent="0.25">
      <c r="E50" s="1">
        <f t="shared" si="4"/>
        <v>9.5999999999999979</v>
      </c>
      <c r="F50">
        <f t="shared" si="0"/>
        <v>15164.770362514751</v>
      </c>
      <c r="G50">
        <f t="shared" si="1"/>
        <v>16057.91795556453</v>
      </c>
      <c r="I50">
        <f t="shared" si="2"/>
        <v>8.982914178898449</v>
      </c>
      <c r="J50">
        <f t="shared" si="3"/>
        <v>9.6122011000670753</v>
      </c>
    </row>
    <row r="51" spans="5:10" x14ac:dyDescent="0.25">
      <c r="E51" s="1">
        <f t="shared" si="4"/>
        <v>9.7999999999999972</v>
      </c>
      <c r="F51">
        <f t="shared" si="0"/>
        <v>15247.139049743082</v>
      </c>
      <c r="G51">
        <f t="shared" si="1"/>
        <v>16164.054281794992</v>
      </c>
      <c r="I51">
        <f t="shared" si="2"/>
        <v>9.1965681000727884</v>
      </c>
      <c r="J51">
        <f t="shared" si="3"/>
        <v>9.8112870273307493</v>
      </c>
    </row>
    <row r="52" spans="5:10" x14ac:dyDescent="0.25">
      <c r="E52" s="1">
        <f t="shared" si="4"/>
        <v>9.9999999999999964</v>
      </c>
      <c r="F52">
        <f t="shared" si="0"/>
        <v>15328.355795955489</v>
      </c>
      <c r="G52">
        <f t="shared" si="1"/>
        <v>16270.082241324222</v>
      </c>
      <c r="I52">
        <f t="shared" si="2"/>
        <v>9.4082199295783795</v>
      </c>
      <c r="J52">
        <f t="shared" si="3"/>
        <v>10.010595059530086</v>
      </c>
    </row>
    <row r="53" spans="5:10" x14ac:dyDescent="0.25">
      <c r="E53" s="1">
        <f t="shared" si="4"/>
        <v>10.199999999999996</v>
      </c>
      <c r="F53">
        <f t="shared" si="0"/>
        <v>15408.265182064015</v>
      </c>
      <c r="G53">
        <f t="shared" si="1"/>
        <v>16375.89408794289</v>
      </c>
      <c r="I53">
        <f t="shared" si="2"/>
        <v>9.6173772415215737</v>
      </c>
      <c r="J53">
        <f t="shared" si="3"/>
        <v>10.210147292174439</v>
      </c>
    </row>
    <row r="54" spans="5:10" x14ac:dyDescent="0.25">
      <c r="E54" s="1">
        <f t="shared" si="4"/>
        <v>10.399999999999995</v>
      </c>
      <c r="F54">
        <f t="shared" si="0"/>
        <v>15486.68885189514</v>
      </c>
      <c r="G54">
        <f t="shared" si="1"/>
        <v>16481.436880182395</v>
      </c>
      <c r="I54">
        <f t="shared" si="2"/>
        <v>9.8235419433040327</v>
      </c>
      <c r="J54">
        <f t="shared" si="3"/>
        <v>10.409947007636413</v>
      </c>
    </row>
    <row r="55" spans="5:10" x14ac:dyDescent="0.25">
      <c r="E55" s="1">
        <f t="shared" si="4"/>
        <v>10.599999999999994</v>
      </c>
      <c r="F55">
        <f t="shared" si="0"/>
        <v>15563.433888813252</v>
      </c>
      <c r="G55">
        <f t="shared" si="1"/>
        <v>16586.676414850925</v>
      </c>
      <c r="I55">
        <f t="shared" si="2"/>
        <v>10.026243733281932</v>
      </c>
      <c r="J55">
        <f t="shared" si="3"/>
        <v>10.609990648842878</v>
      </c>
    </row>
    <row r="56" spans="5:10" x14ac:dyDescent="0.25">
      <c r="E56" s="1">
        <f t="shared" si="4"/>
        <v>10.799999999999994</v>
      </c>
      <c r="F56">
        <f t="shared" si="0"/>
        <v>15638.304392313015</v>
      </c>
      <c r="G56">
        <f t="shared" si="1"/>
        <v>16691.583546226026</v>
      </c>
      <c r="I56">
        <f t="shared" si="2"/>
        <v>10.225086530305726</v>
      </c>
      <c r="J56">
        <f t="shared" si="3"/>
        <v>10.810273856542317</v>
      </c>
    </row>
    <row r="57" spans="5:10" x14ac:dyDescent="0.25">
      <c r="E57" s="1">
        <f t="shared" si="4"/>
        <v>10.999999999999993</v>
      </c>
      <c r="F57">
        <f t="shared" si="0"/>
        <v>15711.115930873049</v>
      </c>
      <c r="G57">
        <f t="shared" si="1"/>
        <v>16796.129295002476</v>
      </c>
      <c r="I57">
        <f t="shared" si="2"/>
        <v>10.419806805657963</v>
      </c>
      <c r="J57">
        <f t="shared" si="3"/>
        <v>11.01079380354275</v>
      </c>
    </row>
    <row r="58" spans="5:10" x14ac:dyDescent="0.25">
      <c r="E58" s="1">
        <f t="shared" si="4"/>
        <v>11.199999999999992</v>
      </c>
      <c r="F58">
        <f t="shared" si="0"/>
        <v>15781.711666451451</v>
      </c>
      <c r="G58">
        <f t="shared" si="1"/>
        <v>16900.283196179331</v>
      </c>
      <c r="I58">
        <f t="shared" si="2"/>
        <v>10.610339865341166</v>
      </c>
      <c r="J58">
        <f t="shared" si="3"/>
        <v>11.211549792530983</v>
      </c>
    </row>
    <row r="59" spans="5:10" x14ac:dyDescent="0.25">
      <c r="E59" s="1">
        <f t="shared" si="4"/>
        <v>11.399999999999991</v>
      </c>
      <c r="F59">
        <f t="shared" si="0"/>
        <v>15849.978065615518</v>
      </c>
      <c r="G59">
        <f t="shared" si="1"/>
        <v>17004.012816839084</v>
      </c>
      <c r="I59">
        <f t="shared" si="2"/>
        <v>10.796887280178487</v>
      </c>
      <c r="J59">
        <f t="shared" si="3"/>
        <v>11.412543093008704</v>
      </c>
    </row>
    <row r="60" spans="5:10" x14ac:dyDescent="0.25">
      <c r="E60" s="1">
        <f t="shared" si="4"/>
        <v>11.599999999999991</v>
      </c>
      <c r="F60">
        <f t="shared" si="0"/>
        <v>15915.857587842591</v>
      </c>
      <c r="G60">
        <f t="shared" si="1"/>
        <v>17107.283701352993</v>
      </c>
      <c r="I60">
        <f t="shared" si="2"/>
        <v>10.979976909239859</v>
      </c>
      <c r="J60">
        <f t="shared" si="3"/>
        <v>11.613776440772718</v>
      </c>
    </row>
    <row r="61" spans="5:10" x14ac:dyDescent="0.25">
      <c r="E61" s="1">
        <f t="shared" si="4"/>
        <v>11.79999999999999</v>
      </c>
      <c r="F61">
        <f t="shared" si="0"/>
        <v>15979.35590814782</v>
      </c>
      <c r="G61">
        <f t="shared" si="1"/>
        <v>17210.059485585585</v>
      </c>
      <c r="I61">
        <f t="shared" si="2"/>
        <v>11.160507122593195</v>
      </c>
      <c r="J61">
        <f t="shared" si="3"/>
        <v>11.815253376322536</v>
      </c>
    </row>
    <row r="62" spans="5:10" x14ac:dyDescent="0.25">
      <c r="E62" s="1">
        <f t="shared" si="4"/>
        <v>11.999999999999989</v>
      </c>
      <c r="F62">
        <f t="shared" si="0"/>
        <v>16040.542191619385</v>
      </c>
      <c r="G62">
        <f t="shared" si="1"/>
        <v>17312.302094852337</v>
      </c>
      <c r="I62">
        <f t="shared" si="2"/>
        <v>11.339768790781132</v>
      </c>
      <c r="J62">
        <f t="shared" si="3"/>
        <v>12.016977496836741</v>
      </c>
    </row>
    <row r="63" spans="5:10" x14ac:dyDescent="0.25">
      <c r="E63" s="1">
        <f t="shared" si="4"/>
        <v>12.199999999999989</v>
      </c>
      <c r="F63">
        <f t="shared" si="0"/>
        <v>16099.5424329138</v>
      </c>
      <c r="G63">
        <f t="shared" si="1"/>
        <v>17413.972001092603</v>
      </c>
      <c r="I63">
        <f t="shared" si="2"/>
        <v>11.519441124504171</v>
      </c>
      <c r="J63">
        <f t="shared" si="3"/>
        <v>12.218951657892742</v>
      </c>
    </row>
    <row r="64" spans="5:10" x14ac:dyDescent="0.25">
      <c r="E64" s="1">
        <f t="shared" si="4"/>
        <v>12.399999999999988</v>
      </c>
      <c r="F64">
        <f t="shared" si="0"/>
        <v>16156.527369811693</v>
      </c>
      <c r="G64">
        <f t="shared" si="1"/>
        <v>17515.028534931469</v>
      </c>
      <c r="I64">
        <f t="shared" si="2"/>
        <v>11.701558802529046</v>
      </c>
      <c r="J64">
        <f t="shared" si="3"/>
        <v>12.421177149626322</v>
      </c>
    </row>
    <row r="65" spans="5:10" x14ac:dyDescent="0.25">
      <c r="E65" s="1">
        <f t="shared" si="4"/>
        <v>12.599999999999987</v>
      </c>
      <c r="F65">
        <f t="shared" si="0"/>
        <v>16211.69744210329</v>
      </c>
      <c r="G65">
        <f t="shared" si="1"/>
        <v>17615.430253838498</v>
      </c>
      <c r="I65">
        <f t="shared" si="2"/>
        <v>11.888447134903526</v>
      </c>
      <c r="J65">
        <f t="shared" si="3"/>
        <v>12.62365287200508</v>
      </c>
    </row>
    <row r="66" spans="5:10" x14ac:dyDescent="0.25">
      <c r="E66" s="1">
        <f t="shared" si="4"/>
        <v>12.799999999999986</v>
      </c>
      <c r="F66">
        <f t="shared" si="0"/>
        <v>16265.267436652095</v>
      </c>
      <c r="G66">
        <f t="shared" si="1"/>
        <v>17715.13536765358</v>
      </c>
      <c r="I66">
        <f t="shared" si="2"/>
        <v>12.082620328097251</v>
      </c>
      <c r="J66">
        <f t="shared" si="3"/>
        <v>12.826374538477868</v>
      </c>
    </row>
    <row r="67" spans="5:10" x14ac:dyDescent="0.25">
      <c r="E67" s="1">
        <f t="shared" si="4"/>
        <v>12.999999999999986</v>
      </c>
      <c r="F67">
        <f t="shared" si="0"/>
        <v>16317.452939282985</v>
      </c>
      <c r="G67">
        <f t="shared" si="1"/>
        <v>17814.102220621575</v>
      </c>
      <c r="I67">
        <f t="shared" si="2"/>
        <v>12.286638295427332</v>
      </c>
      <c r="J67">
        <f t="shared" si="3"/>
        <v>13.029333943091384</v>
      </c>
    </row>
    <row r="68" spans="5:10" x14ac:dyDescent="0.25">
      <c r="E68" s="1">
        <f t="shared" si="4"/>
        <v>13.199999999999985</v>
      </c>
      <c r="F68">
        <f t="shared" si="0"/>
        <v>16368.459839391633</v>
      </c>
      <c r="G68">
        <f t="shared" si="1"/>
        <v>17912.289825960543</v>
      </c>
      <c r="I68">
        <f t="shared" si="2"/>
        <v>12.502923500727661</v>
      </c>
      <c r="J68">
        <f t="shared" si="3"/>
        <v>13.232518331209873</v>
      </c>
    </row>
    <row r="69" spans="5:10" x14ac:dyDescent="0.25">
      <c r="E69" s="1">
        <f t="shared" si="4"/>
        <v>13.399999999999984</v>
      </c>
      <c r="F69">
        <f t="shared" si="0"/>
        <v>16418.477259382616</v>
      </c>
      <c r="G69">
        <f t="shared" si="1"/>
        <v>18009.658445392834</v>
      </c>
      <c r="I69">
        <f t="shared" si="2"/>
        <v>12.733552502722748</v>
      </c>
      <c r="J69">
        <f t="shared" si="3"/>
        <v>13.435909916757165</v>
      </c>
    </row>
    <row r="70" spans="5:10" x14ac:dyDescent="0.25">
      <c r="E70" s="1">
        <f t="shared" si="4"/>
        <v>13.599999999999984</v>
      </c>
      <c r="F70">
        <f t="shared" si="0"/>
        <v>16467.673635392817</v>
      </c>
      <c r="G70">
        <f t="shared" si="1"/>
        <v>18106.170202301335</v>
      </c>
      <c r="I70">
        <f t="shared" si="2"/>
        <v>12.980053696885763</v>
      </c>
      <c r="J70">
        <f t="shared" si="3"/>
        <v>13.639485588257356</v>
      </c>
    </row>
    <row r="71" spans="5:10" x14ac:dyDescent="0.25">
      <c r="E71" s="1">
        <f t="shared" si="4"/>
        <v>13.799999999999983</v>
      </c>
      <c r="F71">
        <f t="shared" si="0"/>
        <v>16516.195325047483</v>
      </c>
      <c r="G71">
        <f t="shared" si="1"/>
        <v>18201.789713516606</v>
      </c>
      <c r="I71">
        <f t="shared" si="2"/>
        <v>13.243254382370429</v>
      </c>
      <c r="J71">
        <f t="shared" si="3"/>
        <v>13.843216841068434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 Leander</dc:creator>
  <dc:description/>
  <cp:lastModifiedBy>Robert Leander</cp:lastModifiedBy>
  <cp:revision>1</cp:revision>
  <dcterms:created xsi:type="dcterms:W3CDTF">2023-01-03T08:40:41Z</dcterms:created>
  <dcterms:modified xsi:type="dcterms:W3CDTF">2023-01-10T12:14:30Z</dcterms:modified>
  <dc:language>nl-NL</dc:language>
</cp:coreProperties>
</file>